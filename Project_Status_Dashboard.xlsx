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Data" sheetId="1" state="visible" r:id="rId3"/>
    <sheet name="Summary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<sst xmlns="http://schemas.openxmlformats.org/spreadsheetml/2006/main" count="114" uniqueCount="74">
  <si>
    <t xml:space="preserve">Project ID</t>
  </si>
  <si>
    <t xml:space="preserve">Project Name</t>
  </si>
  <si>
    <t xml:space="preserve">Owner</t>
  </si>
  <si>
    <t xml:space="preserve">Department</t>
  </si>
  <si>
    <t xml:space="preserve">Start Date</t>
  </si>
  <si>
    <t xml:space="preserve">End Date</t>
  </si>
  <si>
    <t xml:space="preserve">Status</t>
  </si>
  <si>
    <t xml:space="preserve">% Complete</t>
  </si>
  <si>
    <t xml:space="preserve">Budget (₹L)</t>
  </si>
  <si>
    <t xml:space="preserve">Spent (₹L)</t>
  </si>
  <si>
    <t xml:space="preserve">Priority</t>
  </si>
  <si>
    <t xml:space="preserve">Notes</t>
  </si>
  <si>
    <t xml:space="preserve">P001</t>
  </si>
  <si>
    <t xml:space="preserve">Student Portal Upgrade</t>
  </si>
  <si>
    <t xml:space="preserve">Ravi Kumar</t>
  </si>
  <si>
    <t xml:space="preserve">IT</t>
  </si>
  <si>
    <t xml:space="preserve">Completed</t>
  </si>
  <si>
    <t xml:space="preserve">High</t>
  </si>
  <si>
    <t xml:space="preserve">Deployed to production</t>
  </si>
  <si>
    <t xml:space="preserve">P002</t>
  </si>
  <si>
    <t xml:space="preserve">JEE Mock Test Platform</t>
  </si>
  <si>
    <t xml:space="preserve">Priya Singh</t>
  </si>
  <si>
    <t xml:space="preserve">Academics</t>
  </si>
  <si>
    <t xml:space="preserve">In Progress</t>
  </si>
  <si>
    <t xml:space="preserve">UI review pending</t>
  </si>
  <si>
    <t xml:space="preserve">P003</t>
  </si>
  <si>
    <t xml:space="preserve">NEET Study Material Refresh</t>
  </si>
  <si>
    <t xml:space="preserve">Amit Verma</t>
  </si>
  <si>
    <t xml:space="preserve">Content</t>
  </si>
  <si>
    <t xml:space="preserve">Medium</t>
  </si>
  <si>
    <t xml:space="preserve">Writer assigned</t>
  </si>
  <si>
    <t xml:space="preserve">P004</t>
  </si>
  <si>
    <t xml:space="preserve">RRB Data Analytics Dashboard</t>
  </si>
  <si>
    <t xml:space="preserve">Sunita Rao</t>
  </si>
  <si>
    <t xml:space="preserve">At Risk</t>
  </si>
  <si>
    <t xml:space="preserve">Delay in API integration</t>
  </si>
  <si>
    <t xml:space="preserve">P005</t>
  </si>
  <si>
    <t xml:space="preserve">SSC CGL Batch Planning</t>
  </si>
  <si>
    <t xml:space="preserve">Deepak Joshi</t>
  </si>
  <si>
    <t xml:space="preserve">Operations</t>
  </si>
  <si>
    <t xml:space="preserve">Not Started</t>
  </si>
  <si>
    <t xml:space="preserve">Low</t>
  </si>
  <si>
    <t xml:space="preserve">Awaiting approvals</t>
  </si>
  <si>
    <t xml:space="preserve">P006</t>
  </si>
  <si>
    <t xml:space="preserve">CUET Coaching Expansion</t>
  </si>
  <si>
    <t xml:space="preserve">Neha Gupta</t>
  </si>
  <si>
    <t xml:space="preserve">3 new centres onboarded</t>
  </si>
  <si>
    <t xml:space="preserve">P007</t>
  </si>
  <si>
    <t xml:space="preserve">ERP Integration</t>
  </si>
  <si>
    <t xml:space="preserve">Vikram Nair</t>
  </si>
  <si>
    <t xml:space="preserve">On Hold</t>
  </si>
  <si>
    <t xml:space="preserve">Vendor issue</t>
  </si>
  <si>
    <t xml:space="preserve">P008</t>
  </si>
  <si>
    <t xml:space="preserve">SATHEE Baseline Assessment</t>
  </si>
  <si>
    <t xml:space="preserve">Anjali Mehta</t>
  </si>
  <si>
    <t xml:space="preserve">All 1200 students assessed</t>
  </si>
  <si>
    <t xml:space="preserve">P009</t>
  </si>
  <si>
    <t xml:space="preserve">Faculty Training Programme</t>
  </si>
  <si>
    <t xml:space="preserve">Rahul Das</t>
  </si>
  <si>
    <t xml:space="preserve">HR</t>
  </si>
  <si>
    <t xml:space="preserve">Module 1 done</t>
  </si>
  <si>
    <t xml:space="preserve">P010</t>
  </si>
  <si>
    <t xml:space="preserve">Mobile App Development</t>
  </si>
  <si>
    <t xml:space="preserve">Kavita Sharma</t>
  </si>
  <si>
    <t xml:space="preserve">RFP issued</t>
  </si>
  <si>
    <t xml:space="preserve">Count</t>
  </si>
  <si>
    <t xml:space="preserve">📊  PROJECT STATUS DASHBOARD</t>
  </si>
  <si>
    <t xml:space="preserve">Generated: 25 June 2026   |   Total Projects: 10</t>
  </si>
  <si>
    <t xml:space="preserve">Total Projects</t>
  </si>
  <si>
    <t xml:space="preserve">ID</t>
  </si>
  <si>
    <t xml:space="preserve">%Done</t>
  </si>
  <si>
    <t xml:space="preserve">Budget</t>
  </si>
  <si>
    <t xml:space="preserve">Spent</t>
  </si>
  <si>
    <t xml:space="preserve">Variance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</si>
</sst>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"/>
    <numFmt numFmtId="166" formatCode="0%"/>
    <numFmt numFmtId="167" formatCode="#,##0.0"/>
    <numFmt numFmtId="168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2"/>
      <color rgb="FF1F3864"/>
      <name val="Arial"/>
      <family val="0"/>
      <charset val="1"/>
    </font>
    <font>
      <b val="true"/>
      <sz val="22"/>
      <color rgb="FF276221"/>
      <name val="Arial"/>
      <family val="0"/>
      <charset val="1"/>
    </font>
    <font>
      <b val="true"/>
      <sz val="22"/>
      <color rgb="FF9C0006"/>
      <name val="Arial"/>
      <family val="0"/>
      <charset val="1"/>
    </font>
    <font>
      <b val="true"/>
      <sz val="22"/>
      <color rgb="FF9C5700"/>
      <name val="Arial"/>
      <family val="0"/>
      <charset val="1"/>
    </font>
    <font>
      <b val="true"/>
      <sz val="22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BF3FB"/>
        <bgColor rgb="FFF2F2F2"/>
      </patternFill>
    </fill>
    <fill>
      <patternFill patternType="solid">
        <fgColor rgb="FFC6EFCE"/>
        <bgColor rgb="FFD9D9D9"/>
      </patternFill>
    </fill>
    <fill>
      <patternFill patternType="solid">
        <fgColor rgb="FFFFFFFF"/>
        <bgColor rgb="FFF9F9F9"/>
      </patternFill>
    </fill>
    <fill>
      <patternFill patternType="solid">
        <fgColor rgb="FFBDD7EE"/>
        <bgColor rgb="FFB8CCE4"/>
      </patternFill>
    </fill>
    <fill>
      <patternFill patternType="solid">
        <fgColor rgb="FFFFC7CE"/>
        <bgColor rgb="FFD9D9D9"/>
      </patternFill>
    </fill>
    <fill>
      <patternFill patternType="solid">
        <fgColor rgb="FFF2F2F2"/>
        <bgColor rgb="FFEBF3FB"/>
      </patternFill>
    </fill>
    <fill>
      <patternFill patternType="solid">
        <fgColor rgb="FFFFEB9C"/>
        <bgColor rgb="FFF2F2F2"/>
      </patternFill>
    </fill>
    <fill>
      <patternFill patternType="solid">
        <fgColor rgb="FF2E75B6"/>
        <bgColor rgb="FF4F81B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 diagonalUp="false" diagonalDown="false">
      <left style="thin">
        <color rgb="FFB8CCE4"/>
      </left>
      <right/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B8CCE4"/>
      <rgbColor rgb="FF878787"/>
      <rgbColor rgb="FF9999FF"/>
      <rgbColor rgb="FF993366"/>
      <rgbColor rgb="FFF9F9F9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D9D9D9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ED7D31"/>
      <rgbColor rgb="FF595959"/>
      <rgbColor rgb="FF969696"/>
      <rgbColor rgb="FF1F3864"/>
      <rgbColor rgb="FF4F81BD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Summary!B1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276221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1f386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c570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9c000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59595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Summary!$A$2:$A$6</c:f>
              <c:strCache>
                <c:ptCount val="5"/>
                <c:pt idx="0">
                  <c:v>Completed</c:v>
                </c:pt>
                <c:pt idx="1">
                  <c:v>In Progress</c:v>
                </c:pt>
                <c:pt idx="2">
                  <c:v>On Hold</c:v>
                </c:pt>
                <c:pt idx="3">
                  <c:v>At Risk</c:v>
                </c:pt>
                <c:pt idx="4">
                  <c:v>Not Started</c:v>
                </c:pt>
              </c:strCache>
            </c:strRef>
          </c:cat>
          <c:val>
            <c:numRef>
              <c:f>Summary!$B$2:$B$6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vs Spent by Department (₹L)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Summary!E1</c:f>
              <c:strCache>
                <c:ptCount val="1"/>
                <c:pt idx="0">
                  <c:v>Budget (₹L)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Summary!$D$2:$D$6</c:f>
              <c:strCache>
                <c:ptCount val="5"/>
                <c:pt idx="0">
                  <c:v>IT</c:v>
                </c:pt>
                <c:pt idx="1">
                  <c:v>Academics</c:v>
                </c:pt>
                <c:pt idx="2">
                  <c:v>Content</c:v>
                </c:pt>
                <c:pt idx="3">
                  <c:v>Operations</c:v>
                </c:pt>
                <c:pt idx="4">
                  <c:v>HR</c:v>
                </c:pt>
              </c:strCache>
            </c:strRef>
          </c:cat>
          <c:val>
            <c:numRef>
              <c:f>Summary!$E$2:$E$6</c:f>
              <c:numCache>
                <c:formatCode>#,##0.0</c:formatCode>
                <c:ptCount val="5"/>
                <c:pt idx="0">
                  <c:v>56.5</c:v>
                </c:pt>
                <c:pt idx="1">
                  <c:v>27</c:v>
                </c:pt>
                <c:pt idx="2">
                  <c:v>5.5</c:v>
                </c:pt>
                <c:pt idx="3">
                  <c:v>3</c:v>
                </c:pt>
                <c:pt idx="4">
                  <c:v>2.5</c:v>
                </c:pt>
              </c:numCache>
            </c:numRef>
          </c:val>
        </c:ser>
        <c:ser>
          <c:idx val="1"/>
          <c:order val="1"/>
          <c:tx>
            <c:strRef>
              <c:f>Summary!F1</c:f>
              <c:strCache>
                <c:ptCount val="1"/>
                <c:pt idx="0">
                  <c:v>Spent (₹L)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Summary!$D$2:$D$6</c:f>
              <c:strCache>
                <c:ptCount val="5"/>
                <c:pt idx="0">
                  <c:v>IT</c:v>
                </c:pt>
                <c:pt idx="1">
                  <c:v>Academics</c:v>
                </c:pt>
                <c:pt idx="2">
                  <c:v>Content</c:v>
                </c:pt>
                <c:pt idx="3">
                  <c:v>Operations</c:v>
                </c:pt>
                <c:pt idx="4">
                  <c:v>HR</c:v>
                </c:pt>
              </c:strCache>
            </c:strRef>
          </c:cat>
          <c:val>
            <c:numRef>
              <c:f>Summary!$F$2:$F$6</c:f>
              <c:numCache>
                <c:formatCode>#,##0.0</c:formatCode>
                <c:ptCount val="5"/>
                <c:pt idx="0">
                  <c:v>30.9</c:v>
                </c:pt>
                <c:pt idx="1">
                  <c:v>13.6</c:v>
                </c:pt>
                <c:pt idx="2">
                  <c:v>2.2</c:v>
                </c:pt>
                <c:pt idx="3">
                  <c:v>0</c:v>
                </c:pt>
                <c:pt idx="4">
                  <c:v>0.5</c:v>
                </c:pt>
              </c:numCache>
            </c:numRef>
          </c:val>
        </c:ser>
        <c:gapWidth val="150"/>
        <c:overlap val="0"/>
        <c:axId val="45569292"/>
        <c:axId val="40359391"/>
      </c:barChart>
      <c:catAx>
        <c:axId val="455692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359391"/>
        <c:crosses val="autoZero"/>
        <c:auto val="1"/>
        <c:lblAlgn val="ctr"/>
        <c:lblOffset val="100"/>
        <c:noMultiLvlLbl val="0"/>
      </c:catAx>
      <c:valAx>
        <c:axId val="403593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 Lakhs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5692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3</xdr:row>
      <xdr:rowOff>0</xdr:rowOff>
    </xdr:from>
    <xdr:to>
      <xdr:col>18</xdr:col>
      <xdr:colOff>147600</xdr:colOff>
      <xdr:row>16</xdr:row>
      <xdr:rowOff>27720</xdr:rowOff>
    </xdr:to>
    <xdr:graphicFrame>
      <xdr:nvGraphicFramePr>
        <xdr:cNvPr id="0" name="Chart 1"/>
        <xdr:cNvGraphicFramePr/>
      </xdr:nvGraphicFramePr>
      <xdr:xfrm>
        <a:off x="8576280" y="94284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19</xdr:row>
      <xdr:rowOff>0</xdr:rowOff>
    </xdr:from>
    <xdr:to>
      <xdr:col>7</xdr:col>
      <xdr:colOff>65520</xdr:colOff>
      <xdr:row>39</xdr:row>
      <xdr:rowOff>149760</xdr:rowOff>
    </xdr:to>
    <xdr:graphicFrame>
      <xdr:nvGraphicFramePr>
        <xdr:cNvPr id="1" name="Chart 2"/>
        <xdr:cNvGraphicFramePr/>
      </xdr:nvGraphicFramePr>
      <xdr:xfrm>
        <a:off x="0" y="525780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10" min="5" style="0" width="13"/>
    <col collapsed="false" customWidth="true" hidden="false" outlineLevel="0" max="11" min="11" style="0" width="10"/>
    <col collapsed="false" customWidth="true" hidden="false" outlineLevel="0" max="12" min="12" style="0" width="3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21.75" hidden="false" customHeight="tru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3" t="n">
        <v>46037</v>
      </c>
      <c r="F2" s="3" t="n">
        <v>46203</v>
      </c>
      <c r="G2" s="4" t="s">
        <v>16</v>
      </c>
      <c r="H2" s="5" t="n">
        <v>1</v>
      </c>
      <c r="I2" s="6" t="n">
        <v>12.5</v>
      </c>
      <c r="J2" s="6" t="n">
        <v>12.1</v>
      </c>
      <c r="K2" s="2" t="s">
        <v>17</v>
      </c>
      <c r="L2" s="2" t="s">
        <v>18</v>
      </c>
    </row>
    <row r="3" customFormat="false" ht="21.75" hidden="false" customHeight="true" outlineLevel="0" collapsed="false">
      <c r="A3" s="7" t="s">
        <v>19</v>
      </c>
      <c r="B3" s="7" t="s">
        <v>20</v>
      </c>
      <c r="C3" s="7" t="s">
        <v>21</v>
      </c>
      <c r="D3" s="7" t="s">
        <v>22</v>
      </c>
      <c r="E3" s="8" t="n">
        <v>46054</v>
      </c>
      <c r="F3" s="8" t="n">
        <v>46265</v>
      </c>
      <c r="G3" s="9" t="s">
        <v>23</v>
      </c>
      <c r="H3" s="10" t="n">
        <v>0.65</v>
      </c>
      <c r="I3" s="11" t="n">
        <v>8</v>
      </c>
      <c r="J3" s="11" t="n">
        <v>5.2</v>
      </c>
      <c r="K3" s="7" t="s">
        <v>17</v>
      </c>
      <c r="L3" s="7" t="s">
        <v>24</v>
      </c>
    </row>
    <row r="4" customFormat="false" ht="21.75" hidden="false" customHeight="true" outlineLevel="0" collapsed="false">
      <c r="A4" s="2" t="s">
        <v>25</v>
      </c>
      <c r="B4" s="2" t="s">
        <v>26</v>
      </c>
      <c r="C4" s="2" t="s">
        <v>27</v>
      </c>
      <c r="D4" s="2" t="s">
        <v>28</v>
      </c>
      <c r="E4" s="3" t="n">
        <v>46091</v>
      </c>
      <c r="F4" s="3" t="n">
        <v>46218</v>
      </c>
      <c r="G4" s="9" t="s">
        <v>23</v>
      </c>
      <c r="H4" s="5" t="n">
        <v>0.4</v>
      </c>
      <c r="I4" s="6" t="n">
        <v>5.5</v>
      </c>
      <c r="J4" s="6" t="n">
        <v>2.2</v>
      </c>
      <c r="K4" s="2" t="s">
        <v>29</v>
      </c>
      <c r="L4" s="2" t="s">
        <v>30</v>
      </c>
    </row>
    <row r="5" customFormat="false" ht="21.75" hidden="false" customHeight="true" outlineLevel="0" collapsed="false">
      <c r="A5" s="7" t="s">
        <v>31</v>
      </c>
      <c r="B5" s="7" t="s">
        <v>32</v>
      </c>
      <c r="C5" s="7" t="s">
        <v>33</v>
      </c>
      <c r="D5" s="7" t="s">
        <v>15</v>
      </c>
      <c r="E5" s="8" t="n">
        <v>46027</v>
      </c>
      <c r="F5" s="8" t="n">
        <v>46173</v>
      </c>
      <c r="G5" s="12" t="s">
        <v>34</v>
      </c>
      <c r="H5" s="10" t="n">
        <v>0.55</v>
      </c>
      <c r="I5" s="11" t="n">
        <v>6</v>
      </c>
      <c r="J5" s="11" t="n">
        <v>4.8</v>
      </c>
      <c r="K5" s="7" t="s">
        <v>17</v>
      </c>
      <c r="L5" s="7" t="s">
        <v>35</v>
      </c>
    </row>
    <row r="6" customFormat="false" ht="21.75" hidden="false" customHeight="true" outlineLevel="0" collapsed="false">
      <c r="A6" s="2" t="s">
        <v>36</v>
      </c>
      <c r="B6" s="2" t="s">
        <v>37</v>
      </c>
      <c r="C6" s="2" t="s">
        <v>38</v>
      </c>
      <c r="D6" s="2" t="s">
        <v>39</v>
      </c>
      <c r="E6" s="3" t="n">
        <v>46113</v>
      </c>
      <c r="F6" s="3" t="n">
        <v>46295</v>
      </c>
      <c r="G6" s="13" t="s">
        <v>40</v>
      </c>
      <c r="H6" s="5" t="n">
        <v>0</v>
      </c>
      <c r="I6" s="6" t="n">
        <v>3</v>
      </c>
      <c r="J6" s="6" t="n">
        <v>0</v>
      </c>
      <c r="K6" s="2" t="s">
        <v>41</v>
      </c>
      <c r="L6" s="2" t="s">
        <v>42</v>
      </c>
    </row>
    <row r="7" customFormat="false" ht="21.75" hidden="false" customHeight="true" outlineLevel="0" collapsed="false">
      <c r="A7" s="7" t="s">
        <v>43</v>
      </c>
      <c r="B7" s="7" t="s">
        <v>44</v>
      </c>
      <c r="C7" s="7" t="s">
        <v>45</v>
      </c>
      <c r="D7" s="7" t="s">
        <v>22</v>
      </c>
      <c r="E7" s="8" t="n">
        <v>46073</v>
      </c>
      <c r="F7" s="8" t="n">
        <v>46326</v>
      </c>
      <c r="G7" s="9" t="s">
        <v>23</v>
      </c>
      <c r="H7" s="10" t="n">
        <v>0.3</v>
      </c>
      <c r="I7" s="11" t="n">
        <v>15</v>
      </c>
      <c r="J7" s="11" t="n">
        <v>4.5</v>
      </c>
      <c r="K7" s="7" t="s">
        <v>17</v>
      </c>
      <c r="L7" s="7" t="s">
        <v>46</v>
      </c>
    </row>
    <row r="8" customFormat="false" ht="21.75" hidden="false" customHeight="true" outlineLevel="0" collapsed="false">
      <c r="A8" s="2" t="s">
        <v>47</v>
      </c>
      <c r="B8" s="2" t="s">
        <v>48</v>
      </c>
      <c r="C8" s="2" t="s">
        <v>49</v>
      </c>
      <c r="D8" s="2" t="s">
        <v>15</v>
      </c>
      <c r="E8" s="3" t="n">
        <v>45962</v>
      </c>
      <c r="F8" s="3" t="n">
        <v>46142</v>
      </c>
      <c r="G8" s="14" t="s">
        <v>50</v>
      </c>
      <c r="H8" s="5" t="n">
        <v>0.7</v>
      </c>
      <c r="I8" s="6" t="n">
        <v>20</v>
      </c>
      <c r="J8" s="6" t="n">
        <v>14</v>
      </c>
      <c r="K8" s="2" t="s">
        <v>29</v>
      </c>
      <c r="L8" s="2" t="s">
        <v>51</v>
      </c>
    </row>
    <row r="9" customFormat="false" ht="21.75" hidden="false" customHeight="true" outlineLevel="0" collapsed="false">
      <c r="A9" s="7" t="s">
        <v>52</v>
      </c>
      <c r="B9" s="7" t="s">
        <v>53</v>
      </c>
      <c r="C9" s="7" t="s">
        <v>54</v>
      </c>
      <c r="D9" s="7" t="s">
        <v>22</v>
      </c>
      <c r="E9" s="8" t="n">
        <v>46082</v>
      </c>
      <c r="F9" s="8" t="n">
        <v>46188</v>
      </c>
      <c r="G9" s="4" t="s">
        <v>16</v>
      </c>
      <c r="H9" s="10" t="n">
        <v>1</v>
      </c>
      <c r="I9" s="11" t="n">
        <v>4</v>
      </c>
      <c r="J9" s="11" t="n">
        <v>3.9</v>
      </c>
      <c r="K9" s="7" t="s">
        <v>17</v>
      </c>
      <c r="L9" s="7" t="s">
        <v>55</v>
      </c>
    </row>
    <row r="10" customFormat="false" ht="21.75" hidden="false" customHeight="true" outlineLevel="0" collapsed="false">
      <c r="A10" s="2" t="s">
        <v>56</v>
      </c>
      <c r="B10" s="2" t="s">
        <v>57</v>
      </c>
      <c r="C10" s="2" t="s">
        <v>58</v>
      </c>
      <c r="D10" s="2" t="s">
        <v>59</v>
      </c>
      <c r="E10" s="3" t="n">
        <v>46143</v>
      </c>
      <c r="F10" s="3" t="n">
        <v>46234</v>
      </c>
      <c r="G10" s="9" t="s">
        <v>23</v>
      </c>
      <c r="H10" s="5" t="n">
        <v>0.2</v>
      </c>
      <c r="I10" s="6" t="n">
        <v>2.5</v>
      </c>
      <c r="J10" s="6" t="n">
        <v>0.5</v>
      </c>
      <c r="K10" s="2" t="s">
        <v>29</v>
      </c>
      <c r="L10" s="2" t="s">
        <v>60</v>
      </c>
    </row>
    <row r="11" customFormat="false" ht="21.75" hidden="false" customHeight="true" outlineLevel="0" collapsed="false">
      <c r="A11" s="7" t="s">
        <v>61</v>
      </c>
      <c r="B11" s="7" t="s">
        <v>62</v>
      </c>
      <c r="C11" s="7" t="s">
        <v>63</v>
      </c>
      <c r="D11" s="7" t="s">
        <v>15</v>
      </c>
      <c r="E11" s="8" t="n">
        <v>46127</v>
      </c>
      <c r="F11" s="8" t="n">
        <v>46387</v>
      </c>
      <c r="G11" s="13" t="s">
        <v>40</v>
      </c>
      <c r="H11" s="10" t="n">
        <v>0</v>
      </c>
      <c r="I11" s="11" t="n">
        <v>18</v>
      </c>
      <c r="J11" s="11" t="n">
        <v>0</v>
      </c>
      <c r="K11" s="7" t="s">
        <v>17</v>
      </c>
      <c r="L11" s="7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6" min="4" style="0" width="14"/>
  </cols>
  <sheetData>
    <row r="1" customFormat="false" ht="15" hidden="false" customHeight="false" outlineLevel="0" collapsed="false">
      <c r="A1" s="15" t="s">
        <v>6</v>
      </c>
      <c r="B1" s="15" t="s">
        <v>65</v>
      </c>
      <c r="D1" s="15" t="s">
        <v>3</v>
      </c>
      <c r="E1" s="15" t="s">
        <v>8</v>
      </c>
      <c r="F1" s="15" t="s">
        <v>9</v>
      </c>
    </row>
    <row r="2" customFormat="false" ht="15" hidden="false" customHeight="false" outlineLevel="0" collapsed="false">
      <c r="A2" s="16" t="s">
        <v>16</v>
      </c>
      <c r="B2" s="17" t="n">
        <f aca="false">COUNTIF('Project Data'!G:G,A2)</f>
        <v>2</v>
      </c>
      <c r="D2" s="16" t="s">
        <v>15</v>
      </c>
      <c r="E2" s="18" t="n">
        <f aca="false">SUMIF('Project Data'!D:D,D2,'Project Data'!I:I)</f>
        <v>56.5</v>
      </c>
      <c r="F2" s="18" t="n">
        <f aca="false">SUMIF('Project Data'!D:D,D2,'Project Data'!J:J)</f>
        <v>30.9</v>
      </c>
    </row>
    <row r="3" customFormat="false" ht="15" hidden="false" customHeight="false" outlineLevel="0" collapsed="false">
      <c r="A3" s="16" t="s">
        <v>23</v>
      </c>
      <c r="B3" s="17" t="n">
        <f aca="false">COUNTIF('Project Data'!G:G,A3)</f>
        <v>4</v>
      </c>
      <c r="D3" s="16" t="s">
        <v>22</v>
      </c>
      <c r="E3" s="18" t="n">
        <f aca="false">SUMIF('Project Data'!D:D,D3,'Project Data'!I:I)</f>
        <v>27</v>
      </c>
      <c r="F3" s="18" t="n">
        <f aca="false">SUMIF('Project Data'!D:D,D3,'Project Data'!J:J)</f>
        <v>13.6</v>
      </c>
    </row>
    <row r="4" customFormat="false" ht="15" hidden="false" customHeight="false" outlineLevel="0" collapsed="false">
      <c r="A4" s="16" t="s">
        <v>50</v>
      </c>
      <c r="B4" s="17" t="n">
        <f aca="false">COUNTIF('Project Data'!G:G,A4)</f>
        <v>1</v>
      </c>
      <c r="D4" s="16" t="s">
        <v>28</v>
      </c>
      <c r="E4" s="18" t="n">
        <f aca="false">SUMIF('Project Data'!D:D,D4,'Project Data'!I:I)</f>
        <v>5.5</v>
      </c>
      <c r="F4" s="18" t="n">
        <f aca="false">SUMIF('Project Data'!D:D,D4,'Project Data'!J:J)</f>
        <v>2.2</v>
      </c>
    </row>
    <row r="5" customFormat="false" ht="15" hidden="false" customHeight="false" outlineLevel="0" collapsed="false">
      <c r="A5" s="16" t="s">
        <v>34</v>
      </c>
      <c r="B5" s="17" t="n">
        <f aca="false">COUNTIF('Project Data'!G:G,A5)</f>
        <v>1</v>
      </c>
      <c r="D5" s="16" t="s">
        <v>39</v>
      </c>
      <c r="E5" s="18" t="n">
        <f aca="false">SUMIF('Project Data'!D:D,D5,'Project Data'!I:I)</f>
        <v>3</v>
      </c>
      <c r="F5" s="18" t="n">
        <f aca="false">SUMIF('Project Data'!D:D,D5,'Project Data'!J:J)</f>
        <v>0</v>
      </c>
    </row>
    <row r="6" customFormat="false" ht="15" hidden="false" customHeight="false" outlineLevel="0" collapsed="false">
      <c r="A6" s="16" t="s">
        <v>40</v>
      </c>
      <c r="B6" s="17" t="n">
        <f aca="false">COUNTIF('Project Data'!G:G,A6)</f>
        <v>2</v>
      </c>
      <c r="D6" s="16" t="s">
        <v>59</v>
      </c>
      <c r="E6" s="18" t="n">
        <f aca="false">SUMIF('Project Data'!D:D,D6,'Project Data'!I:I)</f>
        <v>2.5</v>
      </c>
      <c r="F6" s="18" t="n">
        <f aca="false">SUMIF('Project Data'!D:D,D6,'Project Data'!J:J)</f>
        <v>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9" min="7" style="0" width="11"/>
  </cols>
  <sheetData>
    <row r="1" customFormat="false" ht="39.75" hidden="false" customHeight="true" outlineLevel="0" collapsed="false">
      <c r="A1" s="19" t="s">
        <v>66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customFormat="false" ht="19.5" hidden="false" customHeight="true" outlineLevel="0" collapsed="false">
      <c r="A2" s="20" t="s">
        <v>67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4" customFormat="false" ht="18" hidden="false" customHeight="true" outlineLevel="0" collapsed="false">
      <c r="A4" s="21" t="s">
        <v>68</v>
      </c>
      <c r="B4" s="21"/>
      <c r="C4" s="21" t="s">
        <v>16</v>
      </c>
      <c r="D4" s="21"/>
      <c r="E4" s="21" t="s">
        <v>23</v>
      </c>
      <c r="F4" s="21"/>
      <c r="G4" s="21" t="s">
        <v>34</v>
      </c>
      <c r="H4" s="21"/>
      <c r="I4" s="21" t="s">
        <v>50</v>
      </c>
      <c r="J4" s="21"/>
      <c r="K4" s="21" t="s">
        <v>40</v>
      </c>
      <c r="L4" s="21"/>
    </row>
    <row r="5" customFormat="false" ht="30" hidden="false" customHeight="true" outlineLevel="0" collapsed="false">
      <c r="A5" s="22" t="n">
        <f aca="false">COUNTA('Project Data'!A2:A1000)</f>
        <v>10</v>
      </c>
      <c r="B5" s="22"/>
      <c r="C5" s="23" t="n">
        <f aca="false">Summary!B2</f>
        <v>2</v>
      </c>
      <c r="D5" s="23"/>
      <c r="E5" s="22" t="n">
        <f aca="false">Summary!B3</f>
        <v>4</v>
      </c>
      <c r="F5" s="22"/>
      <c r="G5" s="24" t="n">
        <f aca="false">Summary!B5</f>
        <v>1</v>
      </c>
      <c r="H5" s="24"/>
      <c r="I5" s="25" t="n">
        <f aca="false">Summary!B4</f>
        <v>1</v>
      </c>
      <c r="J5" s="25"/>
      <c r="K5" s="26" t="n">
        <f aca="false">Summary!B6</f>
        <v>2</v>
      </c>
      <c r="L5" s="26"/>
    </row>
    <row r="6" customFormat="false" ht="19.5" hidden="false" customHeight="true" outlineLevel="0" collapsed="false"/>
    <row r="8" customFormat="false" ht="24.75" hidden="false" customHeight="true" outlineLevel="0" collapsed="false">
      <c r="A8" s="1" t="s">
        <v>69</v>
      </c>
      <c r="B8" s="1" t="s">
        <v>1</v>
      </c>
      <c r="C8" s="1" t="s">
        <v>2</v>
      </c>
      <c r="D8" s="1" t="s">
        <v>6</v>
      </c>
      <c r="E8" s="1" t="s">
        <v>10</v>
      </c>
      <c r="F8" s="1" t="s">
        <v>70</v>
      </c>
      <c r="G8" s="1" t="s">
        <v>71</v>
      </c>
      <c r="H8" s="1" t="s">
        <v>72</v>
      </c>
      <c r="I8" s="1" t="s">
        <v>73</v>
      </c>
    </row>
    <row r="9" customFormat="false" ht="21.75" hidden="false" customHeight="true" outlineLevel="0" collapsed="false">
      <c r="A9" s="27" t="str">
        <f aca="false">'Project Data'!A2</f>
        <v>P001</v>
      </c>
      <c r="B9" s="7" t="str">
        <f aca="false">'Project Data'!B2</f>
        <v>Student Portal Upgrade</v>
      </c>
      <c r="C9" s="27" t="str">
        <f aca="false">'Project Data'!C2</f>
        <v>Ravi Kumar</v>
      </c>
      <c r="D9" s="27" t="str">
        <f aca="false">'Project Data'!G2</f>
        <v>Completed</v>
      </c>
      <c r="E9" s="27" t="str">
        <f aca="false">'Project Data'!K2</f>
        <v>High</v>
      </c>
      <c r="F9" s="10" t="n">
        <f aca="false">'Project Data'!H2</f>
        <v>1</v>
      </c>
      <c r="G9" s="11" t="n">
        <f aca="false">'Project Data'!I2</f>
        <v>12.5</v>
      </c>
      <c r="H9" s="11" t="n">
        <f aca="false">'Project Data'!J2</f>
        <v>12.1</v>
      </c>
      <c r="I9" s="11" t="n">
        <f aca="false">'Project Data'!I2-'Project Data'!J2</f>
        <v>0.4</v>
      </c>
    </row>
    <row r="10" customFormat="false" ht="21.75" hidden="false" customHeight="true" outlineLevel="0" collapsed="false">
      <c r="A10" s="28" t="str">
        <f aca="false">'Project Data'!A3</f>
        <v>P002</v>
      </c>
      <c r="B10" s="2" t="str">
        <f aca="false">'Project Data'!B3</f>
        <v>JEE Mock Test Platform</v>
      </c>
      <c r="C10" s="28" t="str">
        <f aca="false">'Project Data'!C3</f>
        <v>Priya Singh</v>
      </c>
      <c r="D10" s="28" t="str">
        <f aca="false">'Project Data'!G3</f>
        <v>In Progress</v>
      </c>
      <c r="E10" s="28" t="str">
        <f aca="false">'Project Data'!K3</f>
        <v>High</v>
      </c>
      <c r="F10" s="5" t="n">
        <f aca="false">'Project Data'!H3</f>
        <v>0.65</v>
      </c>
      <c r="G10" s="6" t="n">
        <f aca="false">'Project Data'!I3</f>
        <v>8</v>
      </c>
      <c r="H10" s="6" t="n">
        <f aca="false">'Project Data'!J3</f>
        <v>5.2</v>
      </c>
      <c r="I10" s="6" t="n">
        <f aca="false">'Project Data'!I3-'Project Data'!J3</f>
        <v>2.8</v>
      </c>
    </row>
    <row r="11" customFormat="false" ht="21.75" hidden="false" customHeight="true" outlineLevel="0" collapsed="false">
      <c r="A11" s="27" t="str">
        <f aca="false">'Project Data'!A4</f>
        <v>P003</v>
      </c>
      <c r="B11" s="7" t="str">
        <f aca="false">'Project Data'!B4</f>
        <v>NEET Study Material Refresh</v>
      </c>
      <c r="C11" s="27" t="str">
        <f aca="false">'Project Data'!C4</f>
        <v>Amit Verma</v>
      </c>
      <c r="D11" s="27" t="str">
        <f aca="false">'Project Data'!G4</f>
        <v>In Progress</v>
      </c>
      <c r="E11" s="27" t="str">
        <f aca="false">'Project Data'!K4</f>
        <v>Medium</v>
      </c>
      <c r="F11" s="10" t="n">
        <f aca="false">'Project Data'!H4</f>
        <v>0.4</v>
      </c>
      <c r="G11" s="11" t="n">
        <f aca="false">'Project Data'!I4</f>
        <v>5.5</v>
      </c>
      <c r="H11" s="11" t="n">
        <f aca="false">'Project Data'!J4</f>
        <v>2.2</v>
      </c>
      <c r="I11" s="11" t="n">
        <f aca="false">'Project Data'!I4-'Project Data'!J4</f>
        <v>3.3</v>
      </c>
    </row>
    <row r="12" customFormat="false" ht="21.75" hidden="false" customHeight="true" outlineLevel="0" collapsed="false">
      <c r="A12" s="28" t="str">
        <f aca="false">'Project Data'!A5</f>
        <v>P004</v>
      </c>
      <c r="B12" s="2" t="str">
        <f aca="false">'Project Data'!B5</f>
        <v>RRB Data Analytics Dashboard</v>
      </c>
      <c r="C12" s="28" t="str">
        <f aca="false">'Project Data'!C5</f>
        <v>Sunita Rao</v>
      </c>
      <c r="D12" s="28" t="str">
        <f aca="false">'Project Data'!G5</f>
        <v>At Risk</v>
      </c>
      <c r="E12" s="28" t="str">
        <f aca="false">'Project Data'!K5</f>
        <v>High</v>
      </c>
      <c r="F12" s="5" t="n">
        <f aca="false">'Project Data'!H5</f>
        <v>0.55</v>
      </c>
      <c r="G12" s="6" t="n">
        <f aca="false">'Project Data'!I5</f>
        <v>6</v>
      </c>
      <c r="H12" s="6" t="n">
        <f aca="false">'Project Data'!J5</f>
        <v>4.8</v>
      </c>
      <c r="I12" s="6" t="n">
        <f aca="false">'Project Data'!I5-'Project Data'!J5</f>
        <v>1.2</v>
      </c>
    </row>
    <row r="13" customFormat="false" ht="21.75" hidden="false" customHeight="true" outlineLevel="0" collapsed="false">
      <c r="A13" s="27" t="str">
        <f aca="false">'Project Data'!A6</f>
        <v>P005</v>
      </c>
      <c r="B13" s="7" t="str">
        <f aca="false">'Project Data'!B6</f>
        <v>SSC CGL Batch Planning</v>
      </c>
      <c r="C13" s="27" t="str">
        <f aca="false">'Project Data'!C6</f>
        <v>Deepak Joshi</v>
      </c>
      <c r="D13" s="27" t="str">
        <f aca="false">'Project Data'!G6</f>
        <v>Not Started</v>
      </c>
      <c r="E13" s="27" t="str">
        <f aca="false">'Project Data'!K6</f>
        <v>Low</v>
      </c>
      <c r="F13" s="10" t="n">
        <f aca="false">'Project Data'!H6</f>
        <v>0</v>
      </c>
      <c r="G13" s="11" t="n">
        <f aca="false">'Project Data'!I6</f>
        <v>3</v>
      </c>
      <c r="H13" s="11" t="n">
        <f aca="false">'Project Data'!J6</f>
        <v>0</v>
      </c>
      <c r="I13" s="11" t="n">
        <f aca="false">'Project Data'!I6-'Project Data'!J6</f>
        <v>3</v>
      </c>
    </row>
    <row r="14" customFormat="false" ht="21.75" hidden="false" customHeight="true" outlineLevel="0" collapsed="false">
      <c r="A14" s="28" t="str">
        <f aca="false">'Project Data'!A7</f>
        <v>P006</v>
      </c>
      <c r="B14" s="2" t="str">
        <f aca="false">'Project Data'!B7</f>
        <v>CUET Coaching Expansion</v>
      </c>
      <c r="C14" s="28" t="str">
        <f aca="false">'Project Data'!C7</f>
        <v>Neha Gupta</v>
      </c>
      <c r="D14" s="28" t="str">
        <f aca="false">'Project Data'!G7</f>
        <v>In Progress</v>
      </c>
      <c r="E14" s="28" t="str">
        <f aca="false">'Project Data'!K7</f>
        <v>High</v>
      </c>
      <c r="F14" s="5" t="n">
        <f aca="false">'Project Data'!H7</f>
        <v>0.3</v>
      </c>
      <c r="G14" s="6" t="n">
        <f aca="false">'Project Data'!I7</f>
        <v>15</v>
      </c>
      <c r="H14" s="6" t="n">
        <f aca="false">'Project Data'!J7</f>
        <v>4.5</v>
      </c>
      <c r="I14" s="6" t="n">
        <f aca="false">'Project Data'!I7-'Project Data'!J7</f>
        <v>10.5</v>
      </c>
    </row>
    <row r="15" customFormat="false" ht="21.75" hidden="false" customHeight="true" outlineLevel="0" collapsed="false">
      <c r="A15" s="27" t="str">
        <f aca="false">'Project Data'!A8</f>
        <v>P007</v>
      </c>
      <c r="B15" s="7" t="str">
        <f aca="false">'Project Data'!B8</f>
        <v>ERP Integration</v>
      </c>
      <c r="C15" s="27" t="str">
        <f aca="false">'Project Data'!C8</f>
        <v>Vikram Nair</v>
      </c>
      <c r="D15" s="27" t="str">
        <f aca="false">'Project Data'!G8</f>
        <v>On Hold</v>
      </c>
      <c r="E15" s="27" t="str">
        <f aca="false">'Project Data'!K8</f>
        <v>Medium</v>
      </c>
      <c r="F15" s="10" t="n">
        <f aca="false">'Project Data'!H8</f>
        <v>0.7</v>
      </c>
      <c r="G15" s="11" t="n">
        <f aca="false">'Project Data'!I8</f>
        <v>20</v>
      </c>
      <c r="H15" s="11" t="n">
        <f aca="false">'Project Data'!J8</f>
        <v>14</v>
      </c>
      <c r="I15" s="11" t="n">
        <f aca="false">'Project Data'!I8-'Project Data'!J8</f>
        <v>6</v>
      </c>
    </row>
    <row r="16" customFormat="false" ht="21.75" hidden="false" customHeight="true" outlineLevel="0" collapsed="false">
      <c r="A16" s="28" t="str">
        <f aca="false">'Project Data'!A9</f>
        <v>P008</v>
      </c>
      <c r="B16" s="2" t="str">
        <f aca="false">'Project Data'!B9</f>
        <v>SATHEE Baseline Assessment</v>
      </c>
      <c r="C16" s="28" t="str">
        <f aca="false">'Project Data'!C9</f>
        <v>Anjali Mehta</v>
      </c>
      <c r="D16" s="28" t="str">
        <f aca="false">'Project Data'!G9</f>
        <v>Completed</v>
      </c>
      <c r="E16" s="28" t="str">
        <f aca="false">'Project Data'!K9</f>
        <v>High</v>
      </c>
      <c r="F16" s="5" t="n">
        <f aca="false">'Project Data'!H9</f>
        <v>1</v>
      </c>
      <c r="G16" s="6" t="n">
        <f aca="false">'Project Data'!I9</f>
        <v>4</v>
      </c>
      <c r="H16" s="6" t="n">
        <f aca="false">'Project Data'!J9</f>
        <v>3.9</v>
      </c>
      <c r="I16" s="6" t="n">
        <f aca="false">'Project Data'!I9-'Project Data'!J9</f>
        <v>0.1</v>
      </c>
    </row>
    <row r="17" customFormat="false" ht="21.75" hidden="false" customHeight="true" outlineLevel="0" collapsed="false">
      <c r="A17" s="27" t="str">
        <f aca="false">'Project Data'!A10</f>
        <v>P009</v>
      </c>
      <c r="B17" s="7" t="str">
        <f aca="false">'Project Data'!B10</f>
        <v>Faculty Training Programme</v>
      </c>
      <c r="C17" s="27" t="str">
        <f aca="false">'Project Data'!C10</f>
        <v>Rahul Das</v>
      </c>
      <c r="D17" s="27" t="str">
        <f aca="false">'Project Data'!G10</f>
        <v>In Progress</v>
      </c>
      <c r="E17" s="27" t="str">
        <f aca="false">'Project Data'!K10</f>
        <v>Medium</v>
      </c>
      <c r="F17" s="10" t="n">
        <f aca="false">'Project Data'!H10</f>
        <v>0.2</v>
      </c>
      <c r="G17" s="11" t="n">
        <f aca="false">'Project Data'!I10</f>
        <v>2.5</v>
      </c>
      <c r="H17" s="11" t="n">
        <f aca="false">'Project Data'!J10</f>
        <v>0.5</v>
      </c>
      <c r="I17" s="11" t="n">
        <f aca="false">'Project Data'!I10-'Project Data'!J10</f>
        <v>2</v>
      </c>
    </row>
    <row r="18" customFormat="false" ht="21.75" hidden="false" customHeight="true" outlineLevel="0" collapsed="false">
      <c r="A18" s="28" t="str">
        <f aca="false">'Project Data'!A11</f>
        <v>P010</v>
      </c>
      <c r="B18" s="2" t="str">
        <f aca="false">'Project Data'!B11</f>
        <v>Mobile App Development</v>
      </c>
      <c r="C18" s="28" t="str">
        <f aca="false">'Project Data'!C11</f>
        <v>Kavita Sharma</v>
      </c>
      <c r="D18" s="28" t="str">
        <f aca="false">'Project Data'!G11</f>
        <v>Not Started</v>
      </c>
      <c r="E18" s="28" t="str">
        <f aca="false">'Project Data'!K11</f>
        <v>High</v>
      </c>
      <c r="F18" s="5" t="n">
        <f aca="false">'Project Data'!H11</f>
        <v>0</v>
      </c>
      <c r="G18" s="6" t="n">
        <f aca="false">'Project Data'!I11</f>
        <v>18</v>
      </c>
      <c r="H18" s="6" t="n">
        <f aca="false">'Project Data'!J11</f>
        <v>0</v>
      </c>
      <c r="I18" s="6" t="n">
        <f aca="false">'Project Data'!I11-'Project Data'!J11</f>
        <v>18</v>
      </c>
    </row>
  </sheetData>
  <mergeCells count="14">
    <mergeCell ref="A1:O1"/>
    <mergeCell ref="A2:O2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2026-06-25T06:00:28Z</dcterms:created>
  <dc:creator>openpyxl</dc:creator>
  <dc:description/>
  <dc:language>en-US</dc:language>
  <cp:lastModifiedBy/>
  <dcterms:modified xsi:type="dcterms:W3CDTF">2026-06-25T06:00:36Z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